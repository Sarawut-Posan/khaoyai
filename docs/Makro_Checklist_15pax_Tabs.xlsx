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โปรตีน" sheetId="1" r:id="rId1"/>
    <sheet name="ผัก-กับแกล้ม" sheetId="2" r:id="rId2"/>
    <sheet name="เครื่องปรุง-ซอส" sheetId="3" r:id="rId3"/>
    <sheet name="ของกินเล่น-ของหวาน" sheetId="4" r:id="rId4"/>
    <sheet name="เครื่องดื่ม-น้ำแข็ง" sheetId="5" r:id="rId5"/>
    <sheet name="ของใช้-จำเป็น" sheetId="6" r:id="rId6"/>
    <sheet name="ของใช้-แนะนำ" sheetId="7" r:id="rId7"/>
    <sheet name="Summary" sheetId="8" r:id="rId8"/>
  </sheets>
  <definedNames>
    <definedName name="_xlnm._FilterDatabase" localSheetId="3" hidden="1">'ของกินเล่น-ของหวาน'!$A$1:$I$4</definedName>
    <definedName name="_xlnm._FilterDatabase" localSheetId="5" hidden="1">'ของใช้-จำเป็น'!$A$1:$I$6</definedName>
    <definedName name="_xlnm._FilterDatabase" localSheetId="6" hidden="1">'ของใช้-แนะนำ'!$A$1:$I$18</definedName>
    <definedName name="_xlnm._FilterDatabase" localSheetId="1" hidden="1">'ผัก-กับแกล้ม'!$A$1:$I$17</definedName>
    <definedName name="_xlnm._FilterDatabase" localSheetId="4" hidden="1">'เครื่องดื่ม-น้ำแข็ง'!$A$1:$I$12</definedName>
    <definedName name="_xlnm._FilterDatabase" localSheetId="2" hidden="1">'เครื่องปรุง-ซอส'!$A$1:$I$18</definedName>
    <definedName name="_xlnm._FilterDatabase" localSheetId="0" hidden="1">'โปรตีน'!$A$1:$I$9</definedName>
  </definedNames>
  <calcPr calcId="124519" fullCalcOnLoad="1"/>
</workbook>
</file>

<file path=xl/sharedStrings.xml><?xml version="1.0" encoding="utf-8"?>
<sst xmlns="http://schemas.openxmlformats.org/spreadsheetml/2006/main" count="238" uniqueCount="139">
  <si>
    <t>Check</t>
  </si>
  <si>
    <t>Item</t>
  </si>
  <si>
    <t>Min Qty</t>
  </si>
  <si>
    <t>Max Qty</t>
  </si>
  <si>
    <t>Unit</t>
  </si>
  <si>
    <t>Notes</t>
  </si>
  <si>
    <t>Picked Qty</t>
  </si>
  <si>
    <t>Unit Price (THB)</t>
  </si>
  <si>
    <t>Est. Cost (THB)</t>
  </si>
  <si>
    <t>หมูคอ/สันคอ</t>
  </si>
  <si>
    <t>ไก่สะโพก/ปีก (นิวออร์ลีน)</t>
  </si>
  <si>
    <t>กุ้ง (เบอร์ 31/40)</t>
  </si>
  <si>
    <t>ปลาหมึก</t>
  </si>
  <si>
    <t>เนื้อวัว (สันนอก/ใบพาย)</t>
  </si>
  <si>
    <t>หอยหวาน</t>
  </si>
  <si>
    <t>ปลานิลเผาเกลือ</t>
  </si>
  <si>
    <t>ไส้กรอก/นักเก็ต (ออปชัน)</t>
  </si>
  <si>
    <t>กก.</t>
  </si>
  <si>
    <t>ตัว</t>
  </si>
  <si>
    <t>แนะนำแบบหมัก; ผงหมักนิวออร์ลีน 1 ซองใหญ่</t>
  </si>
  <si>
    <t>800–1,000 กรัม/ตัว</t>
  </si>
  <si>
    <t>ย่างง่ายสำหรับกินเล่น</t>
  </si>
  <si>
    <t>เห็ดรวม (ออรินจิ/แชมปิญอง/เข็มทอง)</t>
  </si>
  <si>
    <t>ข้าวโพดอ่อน</t>
  </si>
  <si>
    <t>ผักย่างรวม (พริกหวาน/ซูกินี/หอมหัวใหญ่)</t>
  </si>
  <si>
    <t>ผักชี (ทำน้ำจิ้มซีฟู้ด)</t>
  </si>
  <si>
    <t>รากผักชี (ทำน้ำจิ้มซีฟู้ด)</t>
  </si>
  <si>
    <t>กระเทียมจีน (ทำน้ำจิ้มซีฟู้ด)</t>
  </si>
  <si>
    <t>พริกขี้หนูสวน (ทำน้ำจิ้มซีฟู้ด)</t>
  </si>
  <si>
    <t>มะนาว (จิ้ม/เครื่องดื่ม)</t>
  </si>
  <si>
    <t>ผักกาดหอม (แกล้มปลา)</t>
  </si>
  <si>
    <t>กะหล่ำปลี (แกล้มปลา)</t>
  </si>
  <si>
    <t>แตงกวา (แกล้มปลา)</t>
  </si>
  <si>
    <t>ผักชีฝรั่ง</t>
  </si>
  <si>
    <t>โหระพา</t>
  </si>
  <si>
    <t>สะระแหน่</t>
  </si>
  <si>
    <t>ตะไคร้ (ออปชัน)</t>
  </si>
  <si>
    <t>ใบมะกรูด (ออปชัน)</t>
  </si>
  <si>
    <t>กำ</t>
  </si>
  <si>
    <t>ราก</t>
  </si>
  <si>
    <t>หัวใหญ่</t>
  </si>
  <si>
    <t>กรัม</t>
  </si>
  <si>
    <t>ลูก</t>
  </si>
  <si>
    <t>หัว</t>
  </si>
  <si>
    <t>ต้น</t>
  </si>
  <si>
    <t>ใบ</t>
  </si>
  <si>
    <t>ยัดท้องปลา/แต่งกลิ่น</t>
  </si>
  <si>
    <t>แต่งกลิ่นปลา</t>
  </si>
  <si>
    <t>เกลือเม็ด (เผาปลา)</t>
  </si>
  <si>
    <t>ซีอิ๊วขาว</t>
  </si>
  <si>
    <t>ซอสหอยนางรม</t>
  </si>
  <si>
    <t>ซีอิ๊วดำหวาน</t>
  </si>
  <si>
    <t>พริกไทยป่น</t>
  </si>
  <si>
    <t>น้ำมันพืช</t>
  </si>
  <si>
    <t>ซอสบาร์บีคิว</t>
  </si>
  <si>
    <t>เนยจืด</t>
  </si>
  <si>
    <t>น้ำตาลปี๊บ</t>
  </si>
  <si>
    <t>น้ำตาลทราย</t>
  </si>
  <si>
    <t>น้ำปลา</t>
  </si>
  <si>
    <t>น้ำส้มสายชู</t>
  </si>
  <si>
    <t>น้ำจิ้มซีฟู้ด (ขวด)</t>
  </si>
  <si>
    <t>น้ำจิ้มถั่วลิสง (ซาเตะ/ถั่วตัด)</t>
  </si>
  <si>
    <t>พริกป่น (ออปชัน)</t>
  </si>
  <si>
    <t>ข้าวคั่ว (ออปชัน)</t>
  </si>
  <si>
    <t>มะนาวเพิ่ม (ออปชัน)</t>
  </si>
  <si>
    <t>ถุง</t>
  </si>
  <si>
    <t>ขวดใหญ่</t>
  </si>
  <si>
    <t>ขวด</t>
  </si>
  <si>
    <t>ถุงเล็ก</t>
  </si>
  <si>
    <t>ซอง/ขวด</t>
  </si>
  <si>
    <t>ซอง</t>
  </si>
  <si>
    <t>หรือทำเองจากวัตถุดิบผัก-กับแกล้ม</t>
  </si>
  <si>
    <t>หรือทำเอง: ถั่วบด500g+กะทิ1L+พริกแกงเผ็ด100g+น้ำมะขาม250ml</t>
  </si>
  <si>
    <t>สำรองเผื่อค็อกเทล/น้ำจิ้ม</t>
  </si>
  <si>
    <t>ขนมขบเคี้ยวรวม</t>
  </si>
  <si>
    <t>ผลไม้รวม (แตงโม/สับปะรด/ฝรั่ง) (ออปชัน)</t>
  </si>
  <si>
    <t>ไอศกรีม/เยลลี่ (ออปชัน)</t>
  </si>
  <si>
    <t>แพ็กใหญ่</t>
  </si>
  <si>
    <t>ลัง</t>
  </si>
  <si>
    <t>น้ำดื่ม 1.5 ลิตร</t>
  </si>
  <si>
    <t>โซดา</t>
  </si>
  <si>
    <t>น้ำอัดลม 1.5 ลิตร</t>
  </si>
  <si>
    <t>น้ำแข็งก้อน</t>
  </si>
  <si>
    <t>น้ำแข็งบด</t>
  </si>
  <si>
    <t>Hoegaarden 330 มล.</t>
  </si>
  <si>
    <t>เบียร์อื่น ๆ</t>
  </si>
  <si>
    <t>เหล้า (วิสกี้/รัม/เตกีลา)</t>
  </si>
  <si>
    <t>มิกซ์เซอร์รวม (โซดา/โค้ก/โทนิค)</t>
  </si>
  <si>
    <t>เกลือ (ทำช็อต)</t>
  </si>
  <si>
    <t>มะนาว (สำหรับช็อต/ค็อกเทล)</t>
  </si>
  <si>
    <t>ขวด/กระป๋อง</t>
  </si>
  <si>
    <t>ขวด/ซอง</t>
  </si>
  <si>
    <t>ฟอยล์หนา</t>
  </si>
  <si>
    <t>ถาด/ฟอยล์สำหรับเผาปลา</t>
  </si>
  <si>
    <t>ถุงขยะดำ</t>
  </si>
  <si>
    <t>ทิชชู่ม้วน</t>
  </si>
  <si>
    <t>ทิชชู่เปียก</t>
  </si>
  <si>
    <t>ม้วน</t>
  </si>
  <si>
    <t>แผ่น</t>
  </si>
  <si>
    <t>แพ็ก</t>
  </si>
  <si>
    <t>ถ่าน</t>
  </si>
  <si>
    <t>เชื้อไฟ</t>
  </si>
  <si>
    <t>ไฟแช็ก</t>
  </si>
  <si>
    <t>แก๊สกระป๋อง (เตาพกพา)</t>
  </si>
  <si>
    <t>คีมคีบ</t>
  </si>
  <si>
    <t>ตะแกรงย่างสำรอง</t>
  </si>
  <si>
    <t>มีด+เขียง</t>
  </si>
  <si>
    <t>ถ้วย/ชาม/จาน (ให้พอทุกคน)</t>
  </si>
  <si>
    <t>ไม้เสียบ</t>
  </si>
  <si>
    <t>กล่อง/ถุงซิปล็อก หลายขนาด</t>
  </si>
  <si>
    <t>ฟิล์มแรป</t>
  </si>
  <si>
    <t>น้ำยาล้างจาน</t>
  </si>
  <si>
    <t>ฟองน้ำ</t>
  </si>
  <si>
    <t>ถุงมือยาง</t>
  </si>
  <si>
    <t>กะละมัง/ถาดสแตนเลสใหญ่</t>
  </si>
  <si>
    <t>คูลเลอร์/กระติกน้ำแข็ง</t>
  </si>
  <si>
    <t>พลาสติกรองโต๊ะ (ออปชัน)</t>
  </si>
  <si>
    <t>กลัก/กระป๋อง</t>
  </si>
  <si>
    <t>อัน</t>
  </si>
  <si>
    <t>กระป๋อง</t>
  </si>
  <si>
    <t>ชิ้น</t>
  </si>
  <si>
    <t>ชุด</t>
  </si>
  <si>
    <t>ห่อ</t>
  </si>
  <si>
    <t>ชิ้น/ถุง</t>
  </si>
  <si>
    <t>ก้อน</t>
  </si>
  <si>
    <t>กล่อง</t>
  </si>
  <si>
    <t>กรณีใช้เตาถ่าน</t>
  </si>
  <si>
    <t>Category</t>
  </si>
  <si>
    <t>Items</t>
  </si>
  <si>
    <t>Estimated Cost (THB)</t>
  </si>
  <si>
    <t>โปรตีน</t>
  </si>
  <si>
    <t>ผัก-กับแกล้ม</t>
  </si>
  <si>
    <t>เครื่องปรุง-ซอส</t>
  </si>
  <si>
    <t>ของกินเล่น-ของหวาน</t>
  </si>
  <si>
    <t>เครื่องดื่ม-น้ำแข็ง</t>
  </si>
  <si>
    <t>ของใช้-จำเป็น</t>
  </si>
  <si>
    <t>ของใช้-แนะนำ</t>
  </si>
  <si>
    <t>TOTAL</t>
  </si>
  <si>
    <t>คำแนะนำ: ใส่ค่า Picked Qty และ Unit Price ในแต่ละชีต ระบบจะคำนวณ Est. Cost และสรุปในหน้านี้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</si>
</sst>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4" width="10.7109375" customWidth="1"/>
    <col min="5" max="5" width="12.7109375" customWidth="1"/>
    <col min="6" max="6" width="30.7109375" customWidth="1"/>
    <col min="7" max="9" width="16.7109375" style="1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B2" t="s">
        <v>9</v>
      </c>
      <c r="C2">
        <v>2.5</v>
      </c>
      <c r="D2">
        <v>3</v>
      </c>
      <c r="E2" t="s">
        <v>17</v>
      </c>
      <c r="I2" s="1">
        <f>IFERROR(G2*H2, "")</f>
        <v>0</v>
      </c>
    </row>
    <row r="3" spans="1:9">
      <c r="B3" t="s">
        <v>10</v>
      </c>
      <c r="C3">
        <v>2.5</v>
      </c>
      <c r="D3">
        <v>3</v>
      </c>
      <c r="E3" t="s">
        <v>17</v>
      </c>
      <c r="F3" t="s">
        <v>19</v>
      </c>
      <c r="I3" s="1">
        <f>IFERROR(G3*H3, "")</f>
        <v>0</v>
      </c>
    </row>
    <row r="4" spans="1:9">
      <c r="B4" t="s">
        <v>11</v>
      </c>
      <c r="C4">
        <v>2</v>
      </c>
      <c r="D4">
        <v>2</v>
      </c>
      <c r="E4" t="s">
        <v>17</v>
      </c>
      <c r="I4" s="1">
        <f>IFERROR(G4*H4, "")</f>
        <v>0</v>
      </c>
    </row>
    <row r="5" spans="1:9">
      <c r="B5" t="s">
        <v>12</v>
      </c>
      <c r="C5">
        <v>1.5</v>
      </c>
      <c r="D5">
        <v>1.5</v>
      </c>
      <c r="E5" t="s">
        <v>17</v>
      </c>
      <c r="I5" s="1">
        <f>IFERROR(G5*H5, "")</f>
        <v>0</v>
      </c>
    </row>
    <row r="6" spans="1:9">
      <c r="B6" t="s">
        <v>13</v>
      </c>
      <c r="C6">
        <v>1.5</v>
      </c>
      <c r="D6">
        <v>2</v>
      </c>
      <c r="E6" t="s">
        <v>17</v>
      </c>
      <c r="I6" s="1">
        <f>IFERROR(G6*H6, "")</f>
        <v>0</v>
      </c>
    </row>
    <row r="7" spans="1:9">
      <c r="B7" t="s">
        <v>14</v>
      </c>
      <c r="C7">
        <v>1</v>
      </c>
      <c r="D7">
        <v>1.5</v>
      </c>
      <c r="E7" t="s">
        <v>17</v>
      </c>
      <c r="I7" s="1">
        <f>IFERROR(G7*H7, "")</f>
        <v>0</v>
      </c>
    </row>
    <row r="8" spans="1:9">
      <c r="B8" t="s">
        <v>15</v>
      </c>
      <c r="C8">
        <v>4</v>
      </c>
      <c r="D8">
        <v>5</v>
      </c>
      <c r="E8" t="s">
        <v>18</v>
      </c>
      <c r="F8" t="s">
        <v>20</v>
      </c>
      <c r="I8" s="1">
        <f>IFERROR(G8*H8, "")</f>
        <v>0</v>
      </c>
    </row>
    <row r="9" spans="1:9">
      <c r="B9" t="s">
        <v>16</v>
      </c>
      <c r="C9">
        <v>2</v>
      </c>
      <c r="D9">
        <v>3</v>
      </c>
      <c r="E9" t="s">
        <v>17</v>
      </c>
      <c r="F9" t="s">
        <v>21</v>
      </c>
      <c r="I9" s="1">
        <f>IFERROR(G9*H9, "")</f>
        <v>0</v>
      </c>
    </row>
  </sheetData>
  <autoFilter ref="A1:I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4" width="10.7109375" customWidth="1"/>
    <col min="5" max="5" width="12.7109375" customWidth="1"/>
    <col min="6" max="6" width="30.7109375" customWidth="1"/>
    <col min="7" max="9" width="16.7109375" style="1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B2" t="s">
        <v>22</v>
      </c>
      <c r="C2">
        <v>1.5</v>
      </c>
      <c r="D2">
        <v>2</v>
      </c>
      <c r="E2" t="s">
        <v>17</v>
      </c>
      <c r="I2" s="1">
        <f>IFERROR(G2*H2, "")</f>
        <v>0</v>
      </c>
    </row>
    <row r="3" spans="1:9">
      <c r="B3" t="s">
        <v>23</v>
      </c>
      <c r="C3">
        <v>1</v>
      </c>
      <c r="D3">
        <v>1</v>
      </c>
      <c r="E3" t="s">
        <v>17</v>
      </c>
      <c r="I3" s="1">
        <f>IFERROR(G3*H3, "")</f>
        <v>0</v>
      </c>
    </row>
    <row r="4" spans="1:9">
      <c r="B4" t="s">
        <v>24</v>
      </c>
      <c r="C4">
        <v>2</v>
      </c>
      <c r="D4">
        <v>3</v>
      </c>
      <c r="E4" t="s">
        <v>17</v>
      </c>
      <c r="I4" s="1">
        <f>IFERROR(G4*H4, "")</f>
        <v>0</v>
      </c>
    </row>
    <row r="5" spans="1:9">
      <c r="B5" t="s">
        <v>25</v>
      </c>
      <c r="C5">
        <v>3</v>
      </c>
      <c r="D5">
        <v>3</v>
      </c>
      <c r="E5" t="s">
        <v>38</v>
      </c>
      <c r="I5" s="1">
        <f>IFERROR(G5*H5, "")</f>
        <v>0</v>
      </c>
    </row>
    <row r="6" spans="1:9">
      <c r="B6" t="s">
        <v>26</v>
      </c>
      <c r="C6">
        <v>10</v>
      </c>
      <c r="D6">
        <v>10</v>
      </c>
      <c r="E6" t="s">
        <v>39</v>
      </c>
      <c r="I6" s="1">
        <f>IFERROR(G6*H6, "")</f>
        <v>0</v>
      </c>
    </row>
    <row r="7" spans="1:9">
      <c r="B7" t="s">
        <v>27</v>
      </c>
      <c r="C7">
        <v>2</v>
      </c>
      <c r="D7">
        <v>2</v>
      </c>
      <c r="E7" t="s">
        <v>40</v>
      </c>
      <c r="I7" s="1">
        <f>IFERROR(G7*H7, "")</f>
        <v>0</v>
      </c>
    </row>
    <row r="8" spans="1:9">
      <c r="B8" t="s">
        <v>28</v>
      </c>
      <c r="C8">
        <v>200</v>
      </c>
      <c r="D8">
        <v>200</v>
      </c>
      <c r="E8" t="s">
        <v>41</v>
      </c>
      <c r="I8" s="1">
        <f>IFERROR(G8*H8, "")</f>
        <v>0</v>
      </c>
    </row>
    <row r="9" spans="1:9">
      <c r="B9" t="s">
        <v>29</v>
      </c>
      <c r="C9">
        <v>20</v>
      </c>
      <c r="D9">
        <v>25</v>
      </c>
      <c r="E9" t="s">
        <v>42</v>
      </c>
      <c r="I9" s="1">
        <f>IFERROR(G9*H9, "")</f>
        <v>0</v>
      </c>
    </row>
    <row r="10" spans="1:9">
      <c r="B10" t="s">
        <v>30</v>
      </c>
      <c r="C10">
        <v>3</v>
      </c>
      <c r="D10">
        <v>3</v>
      </c>
      <c r="E10" t="s">
        <v>43</v>
      </c>
      <c r="I10" s="1">
        <f>IFERROR(G10*H10, "")</f>
        <v>0</v>
      </c>
    </row>
    <row r="11" spans="1:9">
      <c r="B11" t="s">
        <v>31</v>
      </c>
      <c r="C11">
        <v>2</v>
      </c>
      <c r="D11">
        <v>2</v>
      </c>
      <c r="E11" t="s">
        <v>43</v>
      </c>
      <c r="I11" s="1">
        <f>IFERROR(G11*H11, "")</f>
        <v>0</v>
      </c>
    </row>
    <row r="12" spans="1:9">
      <c r="B12" t="s">
        <v>32</v>
      </c>
      <c r="C12">
        <v>2</v>
      </c>
      <c r="D12">
        <v>2</v>
      </c>
      <c r="E12" t="s">
        <v>17</v>
      </c>
      <c r="I12" s="1">
        <f>IFERROR(G12*H12, "")</f>
        <v>0</v>
      </c>
    </row>
    <row r="13" spans="1:9">
      <c r="B13" t="s">
        <v>33</v>
      </c>
      <c r="C13">
        <v>1</v>
      </c>
      <c r="D13">
        <v>1</v>
      </c>
      <c r="E13" t="s">
        <v>38</v>
      </c>
      <c r="I13" s="1">
        <f>IFERROR(G13*H13, "")</f>
        <v>0</v>
      </c>
    </row>
    <row r="14" spans="1:9">
      <c r="B14" t="s">
        <v>34</v>
      </c>
      <c r="C14">
        <v>2</v>
      </c>
      <c r="D14">
        <v>2</v>
      </c>
      <c r="E14" t="s">
        <v>38</v>
      </c>
      <c r="I14" s="1">
        <f>IFERROR(G14*H14, "")</f>
        <v>0</v>
      </c>
    </row>
    <row r="15" spans="1:9">
      <c r="B15" t="s">
        <v>35</v>
      </c>
      <c r="C15">
        <v>2</v>
      </c>
      <c r="D15">
        <v>2</v>
      </c>
      <c r="E15" t="s">
        <v>38</v>
      </c>
      <c r="I15" s="1">
        <f>IFERROR(G15*H15, "")</f>
        <v>0</v>
      </c>
    </row>
    <row r="16" spans="1:9">
      <c r="B16" t="s">
        <v>36</v>
      </c>
      <c r="C16">
        <v>10</v>
      </c>
      <c r="D16">
        <v>10</v>
      </c>
      <c r="E16" t="s">
        <v>44</v>
      </c>
      <c r="F16" t="s">
        <v>46</v>
      </c>
      <c r="I16" s="1">
        <f>IFERROR(G16*H16, "")</f>
        <v>0</v>
      </c>
    </row>
    <row r="17" spans="2:9">
      <c r="B17" t="s">
        <v>37</v>
      </c>
      <c r="C17">
        <v>20</v>
      </c>
      <c r="D17">
        <v>20</v>
      </c>
      <c r="E17" t="s">
        <v>45</v>
      </c>
      <c r="F17" t="s">
        <v>47</v>
      </c>
      <c r="I17" s="1">
        <f>IFERROR(G17*H17, "")</f>
        <v>0</v>
      </c>
    </row>
  </sheetData>
  <autoFilter ref="A1:I1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4" width="10.7109375" customWidth="1"/>
    <col min="5" max="5" width="12.7109375" customWidth="1"/>
    <col min="6" max="6" width="30.7109375" customWidth="1"/>
    <col min="7" max="9" width="16.7109375" style="1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B2" t="s">
        <v>48</v>
      </c>
      <c r="C2">
        <v>1</v>
      </c>
      <c r="D2">
        <v>1</v>
      </c>
      <c r="E2" t="s">
        <v>65</v>
      </c>
      <c r="I2" s="1">
        <f>IFERROR(G2*H2, "")</f>
        <v>0</v>
      </c>
    </row>
    <row r="3" spans="1:9">
      <c r="B3" t="s">
        <v>49</v>
      </c>
      <c r="C3">
        <v>1</v>
      </c>
      <c r="D3">
        <v>1</v>
      </c>
      <c r="E3" t="s">
        <v>66</v>
      </c>
      <c r="I3" s="1">
        <f>IFERROR(G3*H3, "")</f>
        <v>0</v>
      </c>
    </row>
    <row r="4" spans="1:9">
      <c r="B4" t="s">
        <v>50</v>
      </c>
      <c r="C4">
        <v>1</v>
      </c>
      <c r="D4">
        <v>1</v>
      </c>
      <c r="E4" t="s">
        <v>66</v>
      </c>
      <c r="I4" s="1">
        <f>IFERROR(G4*H4, "")</f>
        <v>0</v>
      </c>
    </row>
    <row r="5" spans="1:9">
      <c r="B5" t="s">
        <v>51</v>
      </c>
      <c r="C5">
        <v>1</v>
      </c>
      <c r="D5">
        <v>1</v>
      </c>
      <c r="E5" t="s">
        <v>67</v>
      </c>
      <c r="I5" s="1">
        <f>IFERROR(G5*H5, "")</f>
        <v>0</v>
      </c>
    </row>
    <row r="6" spans="1:9">
      <c r="B6" t="s">
        <v>52</v>
      </c>
      <c r="C6">
        <v>1</v>
      </c>
      <c r="D6">
        <v>1</v>
      </c>
      <c r="E6" t="s">
        <v>67</v>
      </c>
      <c r="I6" s="1">
        <f>IFERROR(G6*H6, "")</f>
        <v>0</v>
      </c>
    </row>
    <row r="7" spans="1:9">
      <c r="B7" t="s">
        <v>53</v>
      </c>
      <c r="C7">
        <v>1</v>
      </c>
      <c r="D7">
        <v>1</v>
      </c>
      <c r="E7" t="s">
        <v>67</v>
      </c>
      <c r="I7" s="1">
        <f>IFERROR(G7*H7, "")</f>
        <v>0</v>
      </c>
    </row>
    <row r="8" spans="1:9">
      <c r="B8" t="s">
        <v>54</v>
      </c>
      <c r="C8">
        <v>1</v>
      </c>
      <c r="D8">
        <v>1</v>
      </c>
      <c r="E8" t="s">
        <v>66</v>
      </c>
      <c r="I8" s="1">
        <f>IFERROR(G8*H8, "")</f>
        <v>0</v>
      </c>
    </row>
    <row r="9" spans="1:9">
      <c r="B9" t="s">
        <v>55</v>
      </c>
      <c r="C9">
        <v>500</v>
      </c>
      <c r="D9">
        <v>500</v>
      </c>
      <c r="E9" t="s">
        <v>41</v>
      </c>
      <c r="I9" s="1">
        <f>IFERROR(G9*H9, "")</f>
        <v>0</v>
      </c>
    </row>
    <row r="10" spans="1:9">
      <c r="B10" t="s">
        <v>56</v>
      </c>
      <c r="C10">
        <v>1</v>
      </c>
      <c r="D10">
        <v>1</v>
      </c>
      <c r="E10" t="s">
        <v>68</v>
      </c>
      <c r="I10" s="1">
        <f>IFERROR(G10*H10, "")</f>
        <v>0</v>
      </c>
    </row>
    <row r="11" spans="1:9">
      <c r="B11" t="s">
        <v>57</v>
      </c>
      <c r="C11">
        <v>1</v>
      </c>
      <c r="D11">
        <v>1</v>
      </c>
      <c r="E11" t="s">
        <v>68</v>
      </c>
      <c r="I11" s="1">
        <f>IFERROR(G11*H11, "")</f>
        <v>0</v>
      </c>
    </row>
    <row r="12" spans="1:9">
      <c r="B12" t="s">
        <v>58</v>
      </c>
      <c r="C12">
        <v>1</v>
      </c>
      <c r="D12">
        <v>1</v>
      </c>
      <c r="E12" t="s">
        <v>66</v>
      </c>
      <c r="I12" s="1">
        <f>IFERROR(G12*H12, "")</f>
        <v>0</v>
      </c>
    </row>
    <row r="13" spans="1:9">
      <c r="B13" t="s">
        <v>59</v>
      </c>
      <c r="C13">
        <v>1</v>
      </c>
      <c r="D13">
        <v>1</v>
      </c>
      <c r="E13" t="s">
        <v>67</v>
      </c>
      <c r="I13" s="1">
        <f>IFERROR(G13*H13, "")</f>
        <v>0</v>
      </c>
    </row>
    <row r="14" spans="1:9">
      <c r="B14" t="s">
        <v>60</v>
      </c>
      <c r="C14">
        <v>2</v>
      </c>
      <c r="D14">
        <v>2</v>
      </c>
      <c r="E14" t="s">
        <v>66</v>
      </c>
      <c r="F14" t="s">
        <v>71</v>
      </c>
      <c r="I14" s="1">
        <f>IFERROR(G14*H14, "")</f>
        <v>0</v>
      </c>
    </row>
    <row r="15" spans="1:9">
      <c r="B15" t="s">
        <v>61</v>
      </c>
      <c r="C15">
        <v>2</v>
      </c>
      <c r="D15">
        <v>2</v>
      </c>
      <c r="E15" t="s">
        <v>66</v>
      </c>
      <c r="F15" t="s">
        <v>72</v>
      </c>
      <c r="I15" s="1">
        <f>IFERROR(G15*H15, "")</f>
        <v>0</v>
      </c>
    </row>
    <row r="16" spans="1:9">
      <c r="B16" t="s">
        <v>62</v>
      </c>
      <c r="C16">
        <v>1</v>
      </c>
      <c r="D16">
        <v>1</v>
      </c>
      <c r="E16" t="s">
        <v>69</v>
      </c>
      <c r="I16" s="1">
        <f>IFERROR(G16*H16, "")</f>
        <v>0</v>
      </c>
    </row>
    <row r="17" spans="2:9">
      <c r="B17" t="s">
        <v>63</v>
      </c>
      <c r="C17">
        <v>1</v>
      </c>
      <c r="D17">
        <v>1</v>
      </c>
      <c r="E17" t="s">
        <v>70</v>
      </c>
      <c r="I17" s="1">
        <f>IFERROR(G17*H17, "")</f>
        <v>0</v>
      </c>
    </row>
    <row r="18" spans="2:9">
      <c r="B18" t="s">
        <v>64</v>
      </c>
      <c r="C18">
        <v>10</v>
      </c>
      <c r="D18">
        <v>10</v>
      </c>
      <c r="E18" t="s">
        <v>42</v>
      </c>
      <c r="F18" t="s">
        <v>73</v>
      </c>
      <c r="I18" s="1">
        <f>IFERROR(G18*H18, "")</f>
        <v>0</v>
      </c>
    </row>
  </sheetData>
  <autoFilter ref="A1:I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4" width="10.7109375" customWidth="1"/>
    <col min="5" max="5" width="12.7109375" customWidth="1"/>
    <col min="6" max="6" width="30.7109375" customWidth="1"/>
    <col min="7" max="9" width="16.7109375" style="1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B2" t="s">
        <v>74</v>
      </c>
      <c r="C2">
        <v>3</v>
      </c>
      <c r="D2">
        <v>4</v>
      </c>
      <c r="E2" t="s">
        <v>77</v>
      </c>
      <c r="I2" s="1">
        <f>IFERROR(G2*H2, "")</f>
        <v>0</v>
      </c>
    </row>
    <row r="3" spans="1:9">
      <c r="B3" t="s">
        <v>75</v>
      </c>
      <c r="C3">
        <v>5</v>
      </c>
      <c r="D3">
        <v>7</v>
      </c>
      <c r="E3" t="s">
        <v>17</v>
      </c>
      <c r="I3" s="1">
        <f>IFERROR(G3*H3, "")</f>
        <v>0</v>
      </c>
    </row>
    <row r="4" spans="1:9">
      <c r="B4" t="s">
        <v>76</v>
      </c>
      <c r="C4">
        <v>1</v>
      </c>
      <c r="D4">
        <v>2</v>
      </c>
      <c r="E4" t="s">
        <v>78</v>
      </c>
      <c r="I4" s="1">
        <f>IFERROR(G4*H4, "")</f>
        <v>0</v>
      </c>
    </row>
  </sheetData>
  <autoFilter ref="A1:I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4" width="10.7109375" customWidth="1"/>
    <col min="5" max="5" width="12.7109375" customWidth="1"/>
    <col min="6" max="6" width="30.7109375" customWidth="1"/>
    <col min="7" max="9" width="16.7109375" style="1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B2" t="s">
        <v>79</v>
      </c>
      <c r="C2">
        <v>24</v>
      </c>
      <c r="D2">
        <v>36</v>
      </c>
      <c r="E2" t="s">
        <v>67</v>
      </c>
      <c r="I2" s="1">
        <f>IFERROR(G2*H2, "")</f>
        <v>0</v>
      </c>
    </row>
    <row r="3" spans="1:9">
      <c r="B3" t="s">
        <v>80</v>
      </c>
      <c r="C3">
        <v>24</v>
      </c>
      <c r="D3">
        <v>24</v>
      </c>
      <c r="E3" t="s">
        <v>67</v>
      </c>
      <c r="I3" s="1">
        <f>IFERROR(G3*H3, "")</f>
        <v>0</v>
      </c>
    </row>
    <row r="4" spans="1:9">
      <c r="B4" t="s">
        <v>81</v>
      </c>
      <c r="C4">
        <v>6</v>
      </c>
      <c r="D4">
        <v>6</v>
      </c>
      <c r="E4" t="s">
        <v>67</v>
      </c>
      <c r="I4" s="1">
        <f>IFERROR(G4*H4, "")</f>
        <v>0</v>
      </c>
    </row>
    <row r="5" spans="1:9">
      <c r="B5" t="s">
        <v>82</v>
      </c>
      <c r="C5">
        <v>20</v>
      </c>
      <c r="D5">
        <v>20</v>
      </c>
      <c r="E5" t="s">
        <v>17</v>
      </c>
      <c r="I5" s="1">
        <f>IFERROR(G5*H5, "")</f>
        <v>0</v>
      </c>
    </row>
    <row r="6" spans="1:9">
      <c r="B6" t="s">
        <v>83</v>
      </c>
      <c r="C6">
        <v>10</v>
      </c>
      <c r="D6">
        <v>10</v>
      </c>
      <c r="E6" t="s">
        <v>17</v>
      </c>
      <c r="I6" s="1">
        <f>IFERROR(G6*H6, "")</f>
        <v>0</v>
      </c>
    </row>
    <row r="7" spans="1:9">
      <c r="B7" t="s">
        <v>84</v>
      </c>
      <c r="C7">
        <v>24</v>
      </c>
      <c r="D7">
        <v>24</v>
      </c>
      <c r="E7" t="s">
        <v>67</v>
      </c>
      <c r="I7" s="1">
        <f>IFERROR(G7*H7, "")</f>
        <v>0</v>
      </c>
    </row>
    <row r="8" spans="1:9">
      <c r="B8" t="s">
        <v>85</v>
      </c>
      <c r="C8">
        <v>24</v>
      </c>
      <c r="D8">
        <v>36</v>
      </c>
      <c r="E8" t="s">
        <v>90</v>
      </c>
      <c r="I8" s="1">
        <f>IFERROR(G8*H8, "")</f>
        <v>0</v>
      </c>
    </row>
    <row r="9" spans="1:9">
      <c r="B9" t="s">
        <v>86</v>
      </c>
      <c r="C9">
        <v>1</v>
      </c>
      <c r="D9">
        <v>2</v>
      </c>
      <c r="E9" t="s">
        <v>67</v>
      </c>
      <c r="I9" s="1">
        <f>IFERROR(G9*H9, "")</f>
        <v>0</v>
      </c>
    </row>
    <row r="10" spans="1:9">
      <c r="B10" t="s">
        <v>87</v>
      </c>
      <c r="C10">
        <v>24</v>
      </c>
      <c r="D10">
        <v>24</v>
      </c>
      <c r="E10" t="s">
        <v>67</v>
      </c>
      <c r="I10" s="1">
        <f>IFERROR(G10*H10, "")</f>
        <v>0</v>
      </c>
    </row>
    <row r="11" spans="1:9">
      <c r="B11" t="s">
        <v>88</v>
      </c>
      <c r="C11">
        <v>1</v>
      </c>
      <c r="D11">
        <v>1</v>
      </c>
      <c r="E11" t="s">
        <v>91</v>
      </c>
      <c r="I11" s="1">
        <f>IFERROR(G11*H11, "")</f>
        <v>0</v>
      </c>
    </row>
    <row r="12" spans="1:9">
      <c r="B12" t="s">
        <v>89</v>
      </c>
      <c r="C12">
        <v>10</v>
      </c>
      <c r="D12">
        <v>10</v>
      </c>
      <c r="E12" t="s">
        <v>42</v>
      </c>
      <c r="I12" s="1">
        <f>IFERROR(G12*H12, "")</f>
        <v>0</v>
      </c>
    </row>
  </sheetData>
  <autoFilter ref="A1:I1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4" width="10.7109375" customWidth="1"/>
    <col min="5" max="5" width="12.7109375" customWidth="1"/>
    <col min="6" max="6" width="30.7109375" customWidth="1"/>
    <col min="7" max="9" width="16.7109375" style="1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B2" t="s">
        <v>92</v>
      </c>
      <c r="C2">
        <v>1</v>
      </c>
      <c r="D2">
        <v>1</v>
      </c>
      <c r="E2" t="s">
        <v>97</v>
      </c>
      <c r="I2" s="1">
        <f>IFERROR(G2*H2, "")</f>
        <v>0</v>
      </c>
    </row>
    <row r="3" spans="1:9">
      <c r="B3" t="s">
        <v>93</v>
      </c>
      <c r="C3">
        <v>2</v>
      </c>
      <c r="D3">
        <v>3</v>
      </c>
      <c r="E3" t="s">
        <v>98</v>
      </c>
      <c r="I3" s="1">
        <f>IFERROR(G3*H3, "")</f>
        <v>0</v>
      </c>
    </row>
    <row r="4" spans="1:9">
      <c r="B4" t="s">
        <v>94</v>
      </c>
      <c r="C4">
        <v>24</v>
      </c>
      <c r="D4">
        <v>36</v>
      </c>
      <c r="E4" t="s">
        <v>45</v>
      </c>
      <c r="I4" s="1">
        <f>IFERROR(G4*H4, "")</f>
        <v>0</v>
      </c>
    </row>
    <row r="5" spans="1:9">
      <c r="B5" t="s">
        <v>95</v>
      </c>
      <c r="C5">
        <v>6</v>
      </c>
      <c r="D5">
        <v>6</v>
      </c>
      <c r="E5" t="s">
        <v>97</v>
      </c>
      <c r="I5" s="1">
        <f>IFERROR(G5*H5, "")</f>
        <v>0</v>
      </c>
    </row>
    <row r="6" spans="1:9">
      <c r="B6" t="s">
        <v>96</v>
      </c>
      <c r="C6">
        <v>2</v>
      </c>
      <c r="D6">
        <v>3</v>
      </c>
      <c r="E6" t="s">
        <v>99</v>
      </c>
      <c r="I6" s="1">
        <f>IFERROR(G6*H6, "")</f>
        <v>0</v>
      </c>
    </row>
  </sheetData>
  <autoFilter ref="A1:I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8.7109375" customWidth="1"/>
    <col min="2" max="2" width="34.7109375" customWidth="1"/>
    <col min="3" max="4" width="10.7109375" customWidth="1"/>
    <col min="5" max="5" width="12.7109375" customWidth="1"/>
    <col min="6" max="6" width="30.7109375" customWidth="1"/>
    <col min="7" max="9" width="16.7109375" style="1" customWidth="1"/>
  </cols>
  <sheetData>
    <row r="1" spans="1:9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B2" t="s">
        <v>100</v>
      </c>
      <c r="C2">
        <v>1</v>
      </c>
      <c r="D2">
        <v>2</v>
      </c>
      <c r="E2" t="s">
        <v>65</v>
      </c>
      <c r="F2" t="s">
        <v>126</v>
      </c>
      <c r="I2" s="1">
        <f>IFERROR(G2*H2, "")</f>
        <v>0</v>
      </c>
    </row>
    <row r="3" spans="1:9">
      <c r="B3" t="s">
        <v>101</v>
      </c>
      <c r="C3">
        <v>1</v>
      </c>
      <c r="D3">
        <v>1</v>
      </c>
      <c r="E3" t="s">
        <v>117</v>
      </c>
      <c r="I3" s="1">
        <f>IFERROR(G3*H3, "")</f>
        <v>0</v>
      </c>
    </row>
    <row r="4" spans="1:9">
      <c r="B4" t="s">
        <v>102</v>
      </c>
      <c r="C4">
        <v>2</v>
      </c>
      <c r="D4">
        <v>2</v>
      </c>
      <c r="E4" t="s">
        <v>118</v>
      </c>
      <c r="I4" s="1">
        <f>IFERROR(G4*H4, "")</f>
        <v>0</v>
      </c>
    </row>
    <row r="5" spans="1:9">
      <c r="B5" t="s">
        <v>103</v>
      </c>
      <c r="C5">
        <v>2</v>
      </c>
      <c r="D5">
        <v>4</v>
      </c>
      <c r="E5" t="s">
        <v>119</v>
      </c>
      <c r="I5" s="1">
        <f>IFERROR(G5*H5, "")</f>
        <v>0</v>
      </c>
    </row>
    <row r="6" spans="1:9">
      <c r="B6" t="s">
        <v>104</v>
      </c>
      <c r="C6">
        <v>2</v>
      </c>
      <c r="D6">
        <v>3</v>
      </c>
      <c r="E6" t="s">
        <v>118</v>
      </c>
      <c r="I6" s="1">
        <f>IFERROR(G6*H6, "")</f>
        <v>0</v>
      </c>
    </row>
    <row r="7" spans="1:9">
      <c r="B7" t="s">
        <v>105</v>
      </c>
      <c r="C7">
        <v>1</v>
      </c>
      <c r="D7">
        <v>2</v>
      </c>
      <c r="E7" t="s">
        <v>120</v>
      </c>
      <c r="I7" s="1">
        <f>IFERROR(G7*H7, "")</f>
        <v>0</v>
      </c>
    </row>
    <row r="8" spans="1:9">
      <c r="B8" t="s">
        <v>106</v>
      </c>
      <c r="C8">
        <v>2</v>
      </c>
      <c r="D8">
        <v>2</v>
      </c>
      <c r="E8" t="s">
        <v>121</v>
      </c>
      <c r="I8" s="1">
        <f>IFERROR(G8*H8, "")</f>
        <v>0</v>
      </c>
    </row>
    <row r="9" spans="1:9">
      <c r="B9" t="s">
        <v>107</v>
      </c>
      <c r="C9">
        <v>15</v>
      </c>
      <c r="D9">
        <v>15</v>
      </c>
      <c r="E9" t="s">
        <v>121</v>
      </c>
      <c r="I9" s="1">
        <f>IFERROR(G9*H9, "")</f>
        <v>0</v>
      </c>
    </row>
    <row r="10" spans="1:9">
      <c r="B10" t="s">
        <v>108</v>
      </c>
      <c r="C10">
        <v>1</v>
      </c>
      <c r="D10">
        <v>2</v>
      </c>
      <c r="E10" t="s">
        <v>122</v>
      </c>
      <c r="I10" s="1">
        <f>IFERROR(G10*H10, "")</f>
        <v>0</v>
      </c>
    </row>
    <row r="11" spans="1:9">
      <c r="B11" t="s">
        <v>109</v>
      </c>
      <c r="E11" t="s">
        <v>123</v>
      </c>
      <c r="I11" s="1">
        <f>IFERROR(G11*H11, "")</f>
        <v>0</v>
      </c>
    </row>
    <row r="12" spans="1:9">
      <c r="B12" t="s">
        <v>110</v>
      </c>
      <c r="C12">
        <v>1</v>
      </c>
      <c r="D12">
        <v>1</v>
      </c>
      <c r="E12" t="s">
        <v>97</v>
      </c>
      <c r="I12" s="1">
        <f>IFERROR(G12*H12, "")</f>
        <v>0</v>
      </c>
    </row>
    <row r="13" spans="1:9">
      <c r="B13" t="s">
        <v>111</v>
      </c>
      <c r="C13">
        <v>1</v>
      </c>
      <c r="D13">
        <v>1</v>
      </c>
      <c r="E13" t="s">
        <v>67</v>
      </c>
      <c r="I13" s="1">
        <f>IFERROR(G13*H13, "")</f>
        <v>0</v>
      </c>
    </row>
    <row r="14" spans="1:9">
      <c r="B14" t="s">
        <v>112</v>
      </c>
      <c r="C14">
        <v>2</v>
      </c>
      <c r="D14">
        <v>3</v>
      </c>
      <c r="E14" t="s">
        <v>124</v>
      </c>
      <c r="I14" s="1">
        <f>IFERROR(G14*H14, "")</f>
        <v>0</v>
      </c>
    </row>
    <row r="15" spans="1:9">
      <c r="B15" t="s">
        <v>113</v>
      </c>
      <c r="C15">
        <v>1</v>
      </c>
      <c r="D15">
        <v>1</v>
      </c>
      <c r="E15" t="s">
        <v>125</v>
      </c>
      <c r="I15" s="1">
        <f>IFERROR(G15*H15, "")</f>
        <v>0</v>
      </c>
    </row>
    <row r="16" spans="1:9">
      <c r="B16" t="s">
        <v>114</v>
      </c>
      <c r="C16">
        <v>2</v>
      </c>
      <c r="D16">
        <v>3</v>
      </c>
      <c r="E16" t="s">
        <v>45</v>
      </c>
      <c r="I16" s="1">
        <f>IFERROR(G16*H16, "")</f>
        <v>0</v>
      </c>
    </row>
    <row r="17" spans="2:9">
      <c r="B17" t="s">
        <v>115</v>
      </c>
      <c r="C17">
        <v>1</v>
      </c>
      <c r="D17">
        <v>2</v>
      </c>
      <c r="E17" t="s">
        <v>45</v>
      </c>
      <c r="I17" s="1">
        <f>IFERROR(G17*H17, "")</f>
        <v>0</v>
      </c>
    </row>
    <row r="18" spans="2:9">
      <c r="B18" t="s">
        <v>116</v>
      </c>
      <c r="C18">
        <v>1</v>
      </c>
      <c r="D18">
        <v>1</v>
      </c>
      <c r="E18" t="s">
        <v>97</v>
      </c>
      <c r="I18" s="1">
        <f>IFERROR(G18*H18, "")</f>
        <v>0</v>
      </c>
    </row>
  </sheetData>
  <autoFilter ref="A1:I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cols>
    <col min="1" max="1" width="24.7109375" customWidth="1"/>
    <col min="2" max="2" width="10.7109375" customWidth="1"/>
    <col min="3" max="3" width="22.7109375" style="1" customWidth="1"/>
  </cols>
  <sheetData>
    <row r="1" spans="1:5">
      <c r="A1" s="3" t="s">
        <v>127</v>
      </c>
      <c r="B1" s="3" t="s">
        <v>128</v>
      </c>
      <c r="C1" s="3" t="s">
        <v>129</v>
      </c>
      <c r="E1" s="4" t="s">
        <v>138</v>
      </c>
    </row>
    <row r="2" spans="1:5">
      <c r="A2" t="s">
        <v>130</v>
      </c>
      <c r="B2">
        <v>8</v>
      </c>
      <c r="C2" s="1">
        <f>SUM('โปรตีน'!I2:I9)</f>
        <v>0</v>
      </c>
    </row>
    <row r="3" spans="1:5">
      <c r="A3" t="s">
        <v>131</v>
      </c>
      <c r="B3">
        <v>16</v>
      </c>
      <c r="C3" s="1">
        <f>SUM('ผัก-กับแกล้ม'!I2:I17)</f>
        <v>0</v>
      </c>
    </row>
    <row r="4" spans="1:5">
      <c r="A4" t="s">
        <v>132</v>
      </c>
      <c r="B4">
        <v>17</v>
      </c>
      <c r="C4" s="1">
        <f>SUM('เครื่องปรุง-ซอส'!I2:I18)</f>
        <v>0</v>
      </c>
    </row>
    <row r="5" spans="1:5">
      <c r="A5" t="s">
        <v>133</v>
      </c>
      <c r="B5">
        <v>3</v>
      </c>
      <c r="C5" s="1">
        <f>SUM('ของกินเล่น-ของหวาน'!I2:I4)</f>
        <v>0</v>
      </c>
    </row>
    <row r="6" spans="1:5">
      <c r="A6" t="s">
        <v>134</v>
      </c>
      <c r="B6">
        <v>11</v>
      </c>
      <c r="C6" s="1">
        <f>SUM('เครื่องดื่ม-น้ำแข็ง'!I2:I12)</f>
        <v>0</v>
      </c>
    </row>
    <row r="7" spans="1:5">
      <c r="A7" t="s">
        <v>135</v>
      </c>
      <c r="B7">
        <v>5</v>
      </c>
      <c r="C7" s="1">
        <f>SUM('ของใช้-จำเป็น'!I2:I6)</f>
        <v>0</v>
      </c>
    </row>
    <row r="8" spans="1:5">
      <c r="A8" t="s">
        <v>136</v>
      </c>
      <c r="B8">
        <v>17</v>
      </c>
      <c r="C8" s="1">
        <f>SUM('ของใช้-แนะนำ'!I2:I18)</f>
        <v>0</v>
      </c>
    </row>
    <row r="9" spans="1:5">
      <c r="A9" t="s">
        <v>137</v>
      </c>
      <c r="C9" s="1">
        <f>SUM(C2:C8)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โปรตีน</vt:lpstr>
      <vt:lpstr>ผัก-กับแกล้ม</vt:lpstr>
      <vt:lpstr>เครื่องปรุง-ซอส</vt:lpstr>
      <vt:lpstr>ของกินเล่น-ของหวาน</vt:lpstr>
      <vt:lpstr>เครื่องดื่ม-น้ำแข็ง</vt:lpstr>
      <vt:lpstr>ของใช้-จำเป็น</vt:lpstr>
      <vt:lpstr>ของใช้-แนะนำ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2025-11-03T08:19:37Z</dcterms:created>
  <dcterms:modified xsi:type="dcterms:W3CDTF">2025-11-03T08:19:37Z</dcterms:modified>
</cp:coreProperties>
</file>